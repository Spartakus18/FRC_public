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on_commandes" sheetId="1" r:id="rId1"/>
    <sheet name="bon_commande_produits" sheetId="2" r:id="rId2"/>
    <sheet name="bon_livrais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3" l="1"/>
  <c r="S2" i="3" s="1"/>
  <c r="O2" i="3"/>
  <c r="H4" i="2" l="1"/>
  <c r="H3" i="2"/>
  <c r="H2" i="2"/>
</calcChain>
</file>

<file path=xl/sharedStrings.xml><?xml version="1.0" encoding="utf-8"?>
<sst xmlns="http://schemas.openxmlformats.org/spreadsheetml/2006/main" count="89" uniqueCount="75">
  <si>
    <t>date_BC</t>
  </si>
  <si>
    <t>client_nom</t>
  </si>
  <si>
    <t>date_elaboration</t>
  </si>
  <si>
    <t>destination_nom</t>
  </si>
  <si>
    <t>date_prevu_livraison</t>
  </si>
  <si>
    <t>article_nom</t>
  </si>
  <si>
    <t>lieu_stockage_nom</t>
  </si>
  <si>
    <t>quantite</t>
  </si>
  <si>
    <t>pu</t>
  </si>
  <si>
    <t>unite_nom</t>
  </si>
  <si>
    <t>montant</t>
  </si>
  <si>
    <t>designation</t>
  </si>
  <si>
    <t>observations</t>
  </si>
  <si>
    <t>2025-11-01</t>
  </si>
  <si>
    <t>2025-10-28</t>
  </si>
  <si>
    <t>2025-12-01</t>
  </si>
  <si>
    <t>m3</t>
  </si>
  <si>
    <t>Commande granulats Q4</t>
  </si>
  <si>
    <t>Clients divers</t>
  </si>
  <si>
    <t>Mahamasina</t>
  </si>
  <si>
    <t>Androhibe</t>
  </si>
  <si>
    <t>Société ABC</t>
  </si>
  <si>
    <t>Zone A</t>
  </si>
  <si>
    <t>Zone B</t>
  </si>
  <si>
    <t>Gravillon 0/100</t>
  </si>
  <si>
    <t>numero</t>
  </si>
  <si>
    <t>id</t>
  </si>
  <si>
    <t>bon_commande_id</t>
  </si>
  <si>
    <t>numbl</t>
  </si>
  <si>
    <t>heure_depart</t>
  </si>
  <si>
    <t>heure_arrive</t>
  </si>
  <si>
    <t>vehicule_nom</t>
  </si>
  <si>
    <t>gasoil_depart</t>
  </si>
  <si>
    <t>gasoil_arrive</t>
  </si>
  <si>
    <t>compteur_depart</t>
  </si>
  <si>
    <t>compteur_arrive</t>
  </si>
  <si>
    <t>nbr_voyage</t>
  </si>
  <si>
    <t>heure_machine</t>
  </si>
  <si>
    <t>date_livraison</t>
  </si>
  <si>
    <t>date_arriver</t>
  </si>
  <si>
    <t>consommation_reelle_par_heure</t>
  </si>
  <si>
    <t>consommation_horaire_reference</t>
  </si>
  <si>
    <t>ecart_consommation_horaire</t>
  </si>
  <si>
    <t>statut_consommation_horaire</t>
  </si>
  <si>
    <t>consommation_totale</t>
  </si>
  <si>
    <t>consommation_destination_reference</t>
  </si>
  <si>
    <t>ecart_consommation_destination</t>
  </si>
  <si>
    <t>statut_consommation_destination</t>
  </si>
  <si>
    <t>isdelivred</t>
  </si>
  <si>
    <t>chauffeur_nom</t>
  </si>
  <si>
    <t>heure_chauffeur</t>
  </si>
  <si>
    <t>aide_chauffeur_id</t>
  </si>
  <si>
    <t>bon_commande_produit_id</t>
  </si>
  <si>
    <t>quantite_deja_livree</t>
  </si>
  <si>
    <t>remarque</t>
  </si>
  <si>
    <t>ATEGO</t>
  </si>
  <si>
    <t>0.00</t>
  </si>
  <si>
    <t>élevé</t>
  </si>
  <si>
    <t>Arthur</t>
  </si>
  <si>
    <t>10.00</t>
  </si>
  <si>
    <t>NULL</t>
  </si>
  <si>
    <t>2025-11-999-004</t>
  </si>
  <si>
    <t>2025-11-999-005</t>
  </si>
  <si>
    <t>2025-11-999-006</t>
  </si>
  <si>
    <t>2025-11-02</t>
  </si>
  <si>
    <t>2025-11-03</t>
  </si>
  <si>
    <t>2025-10-29</t>
  </si>
  <si>
    <t>2025-10-30</t>
  </si>
  <si>
    <t>2025-12-02</t>
  </si>
  <si>
    <t>2025-12-03</t>
  </si>
  <si>
    <t>Commande granulats Q5</t>
  </si>
  <si>
    <t>Commande granulats Q6</t>
  </si>
  <si>
    <t>test 1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</si>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</sst>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444444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0" xfId="0" applyFont="1" applyFill="1"/>
    <xf numFmtId="0" fontId="5" fillId="5" borderId="0" xfId="0" applyFont="1" applyFill="1"/>
    <xf numFmtId="21" fontId="0" fillId="0" borderId="0" xfId="0" applyNumberFormat="1"/>
    <xf numFmtId="14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" width="2.7109375" bestFit="1" customWidth="1"/>
    <col min="2" max="2" width="15.140625" bestFit="1" customWidth="1"/>
    <col min="3" max="3" width="10.140625" bestFit="1" customWidth="1"/>
    <col min="4" max="4" width="12" bestFit="1" customWidth="1"/>
    <col min="5" max="5" width="16.5703125" bestFit="1" customWidth="1"/>
    <col min="6" max="6" width="16.140625" bestFit="1" customWidth="1"/>
    <col min="7" max="7" width="20" bestFit="1" customWidth="1"/>
    <col min="8" max="8" width="21.85546875" bestFit="1" customWidth="1"/>
    <col min="9" max="9" width="12.42578125" bestFit="1" customWidth="1"/>
    <col min="10" max="11" width="12" customWidth="1"/>
    <col min="12" max="12" width="13" customWidth="1"/>
    <col min="13" max="13" width="12" customWidth="1"/>
    <col min="14" max="14" width="15" customWidth="1"/>
    <col min="15" max="15" width="16" customWidth="1"/>
  </cols>
  <sheetData>
    <row r="1" spans="1:9" x14ac:dyDescent="0.25">
      <c r="A1" s="1" t="s">
        <v>26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11</v>
      </c>
      <c r="I1" s="2" t="s">
        <v>12</v>
      </c>
    </row>
    <row r="2" spans="1:9" x14ac:dyDescent="0.25">
      <c r="A2">
        <v>3</v>
      </c>
      <c r="B2" t="s">
        <v>61</v>
      </c>
      <c r="C2" s="3" t="s">
        <v>13</v>
      </c>
      <c r="D2" s="3" t="s">
        <v>18</v>
      </c>
      <c r="E2" s="3" t="s">
        <v>14</v>
      </c>
      <c r="F2" s="3" t="s">
        <v>19</v>
      </c>
      <c r="G2" s="3" t="s">
        <v>15</v>
      </c>
      <c r="H2" s="3" t="s">
        <v>17</v>
      </c>
      <c r="I2" s="3" t="s">
        <v>72</v>
      </c>
    </row>
    <row r="3" spans="1:9" x14ac:dyDescent="0.25">
      <c r="A3">
        <v>4</v>
      </c>
      <c r="B3" t="s">
        <v>62</v>
      </c>
      <c r="C3" s="3" t="s">
        <v>64</v>
      </c>
      <c r="D3" s="3" t="s">
        <v>18</v>
      </c>
      <c r="E3" s="3" t="s">
        <v>66</v>
      </c>
      <c r="F3" s="3" t="s">
        <v>20</v>
      </c>
      <c r="G3" s="3" t="s">
        <v>68</v>
      </c>
      <c r="H3" s="3" t="s">
        <v>70</v>
      </c>
      <c r="I3" s="3" t="s">
        <v>73</v>
      </c>
    </row>
    <row r="4" spans="1:9" x14ac:dyDescent="0.25">
      <c r="A4">
        <v>5</v>
      </c>
      <c r="B4" t="s">
        <v>63</v>
      </c>
      <c r="C4" s="3" t="s">
        <v>65</v>
      </c>
      <c r="D4" s="4" t="s">
        <v>21</v>
      </c>
      <c r="E4" s="3" t="s">
        <v>67</v>
      </c>
      <c r="F4" s="3" t="s">
        <v>20</v>
      </c>
      <c r="G4" s="3" t="s">
        <v>69</v>
      </c>
      <c r="H4" s="3" t="s">
        <v>71</v>
      </c>
      <c r="I4" s="3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17" sqref="E17"/>
    </sheetView>
  </sheetViews>
  <sheetFormatPr baseColWidth="10" defaultRowHeight="15" x14ac:dyDescent="0.25"/>
  <sheetData>
    <row r="1" spans="1:8" ht="25.5" x14ac:dyDescent="0.25">
      <c r="A1" s="1" t="s">
        <v>26</v>
      </c>
      <c r="B1" s="1" t="s">
        <v>27</v>
      </c>
      <c r="C1" s="1" t="s">
        <v>5</v>
      </c>
      <c r="D1" s="1" t="s">
        <v>6</v>
      </c>
      <c r="E1" s="1" t="s">
        <v>7</v>
      </c>
      <c r="F1" s="1" t="s">
        <v>8</v>
      </c>
      <c r="G1" s="5" t="s">
        <v>9</v>
      </c>
      <c r="H1" s="5" t="s">
        <v>10</v>
      </c>
    </row>
    <row r="2" spans="1:8" x14ac:dyDescent="0.25">
      <c r="A2">
        <v>3</v>
      </c>
      <c r="B2">
        <v>3</v>
      </c>
      <c r="C2" s="6" t="s">
        <v>24</v>
      </c>
      <c r="D2" s="3" t="s">
        <v>22</v>
      </c>
      <c r="E2" s="3">
        <v>50</v>
      </c>
      <c r="F2" s="3">
        <v>12000</v>
      </c>
      <c r="G2" s="3" t="s">
        <v>16</v>
      </c>
      <c r="H2" s="3">
        <f>E2*F2</f>
        <v>600000</v>
      </c>
    </row>
    <row r="3" spans="1:8" x14ac:dyDescent="0.25">
      <c r="A3">
        <v>4</v>
      </c>
      <c r="B3">
        <v>4</v>
      </c>
      <c r="C3" s="6" t="s">
        <v>24</v>
      </c>
      <c r="D3" s="3" t="s">
        <v>22</v>
      </c>
      <c r="E3" s="3">
        <v>60</v>
      </c>
      <c r="F3" s="3">
        <v>8500</v>
      </c>
      <c r="G3" s="3" t="s">
        <v>16</v>
      </c>
      <c r="H3" s="3">
        <f>E3*F3</f>
        <v>510000</v>
      </c>
    </row>
    <row r="4" spans="1:8" x14ac:dyDescent="0.25">
      <c r="A4">
        <v>5</v>
      </c>
      <c r="B4">
        <v>5</v>
      </c>
      <c r="C4" s="6" t="s">
        <v>24</v>
      </c>
      <c r="D4" s="3" t="s">
        <v>23</v>
      </c>
      <c r="E4" s="3">
        <v>70</v>
      </c>
      <c r="F4" s="3">
        <v>13500</v>
      </c>
      <c r="G4" s="3" t="s">
        <v>16</v>
      </c>
      <c r="H4" s="3">
        <f>E4*F4</f>
        <v>945000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7" bestFit="1" customWidth="1"/>
    <col min="2" max="2" width="13.140625" bestFit="1" customWidth="1"/>
    <col min="3" max="3" width="12.42578125" bestFit="1" customWidth="1"/>
    <col min="4" max="4" width="13.5703125" bestFit="1" customWidth="1"/>
    <col min="5" max="5" width="13" bestFit="1" customWidth="1"/>
    <col min="6" max="6" width="12.28515625" bestFit="1" customWidth="1"/>
    <col min="7" max="7" width="16.5703125" bestFit="1" customWidth="1"/>
    <col min="8" max="8" width="15.7109375" bestFit="1" customWidth="1"/>
    <col min="9" max="9" width="11.28515625" bestFit="1" customWidth="1"/>
    <col min="10" max="10" width="14.85546875" bestFit="1" customWidth="1"/>
    <col min="11" max="11" width="13.5703125" bestFit="1" customWidth="1"/>
    <col min="12" max="12" width="11.85546875" bestFit="1" customWidth="1"/>
    <col min="13" max="13" width="31" bestFit="1" customWidth="1"/>
    <col min="14" max="14" width="31.85546875" bestFit="1" customWidth="1"/>
    <col min="15" max="15" width="27.42578125" bestFit="1" customWidth="1"/>
    <col min="16" max="16" width="28.140625" bestFit="1" customWidth="1"/>
    <col min="17" max="17" width="20.5703125" bestFit="1" customWidth="1"/>
    <col min="18" max="18" width="35.5703125" bestFit="1" customWidth="1"/>
    <col min="19" max="19" width="31.140625" bestFit="1" customWidth="1"/>
    <col min="20" max="20" width="32" bestFit="1" customWidth="1"/>
    <col min="21" max="21" width="10" bestFit="1" customWidth="1"/>
    <col min="22" max="22" width="14.5703125" bestFit="1" customWidth="1"/>
    <col min="23" max="23" width="15.85546875" bestFit="1" customWidth="1"/>
    <col min="24" max="24" width="17.28515625" bestFit="1" customWidth="1"/>
    <col min="25" max="25" width="28.28515625" bestFit="1" customWidth="1"/>
    <col min="26" max="26" width="8.5703125" bestFit="1" customWidth="1"/>
    <col min="27" max="27" width="19.7109375" bestFit="1" customWidth="1"/>
    <col min="28" max="28" width="13" bestFit="1" customWidth="1"/>
    <col min="29" max="29" width="5" bestFit="1" customWidth="1"/>
    <col min="30" max="30" width="9.7109375" bestFit="1" customWidth="1"/>
  </cols>
  <sheetData>
    <row r="1" spans="1:30" x14ac:dyDescent="0.2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7</v>
      </c>
      <c r="AA1" s="7" t="s">
        <v>53</v>
      </c>
      <c r="AB1" s="7" t="s">
        <v>1</v>
      </c>
      <c r="AC1" s="7" t="s">
        <v>8</v>
      </c>
      <c r="AD1" s="8" t="s">
        <v>54</v>
      </c>
    </row>
    <row r="2" spans="1:30" x14ac:dyDescent="0.25">
      <c r="A2">
        <v>5</v>
      </c>
      <c r="B2" s="9">
        <v>0.41041666666666665</v>
      </c>
      <c r="C2" s="9">
        <v>0.52083333333333337</v>
      </c>
      <c r="D2" t="s">
        <v>55</v>
      </c>
      <c r="E2">
        <v>5</v>
      </c>
      <c r="F2">
        <v>4.2</v>
      </c>
      <c r="G2" t="s">
        <v>56</v>
      </c>
      <c r="H2">
        <v>2.4</v>
      </c>
      <c r="I2">
        <v>1</v>
      </c>
      <c r="J2">
        <v>5</v>
      </c>
      <c r="K2" s="10">
        <v>45950</v>
      </c>
      <c r="L2" s="10">
        <v>45950</v>
      </c>
      <c r="M2">
        <v>3.5</v>
      </c>
      <c r="N2">
        <v>10</v>
      </c>
      <c r="O2">
        <f>N2-M2</f>
        <v>6.5</v>
      </c>
      <c r="P2" t="s">
        <v>57</v>
      </c>
      <c r="Q2">
        <f>E2-F2</f>
        <v>0.79999999999999982</v>
      </c>
      <c r="R2">
        <v>5</v>
      </c>
      <c r="S2">
        <f>R2-Q2</f>
        <v>4.2</v>
      </c>
      <c r="T2" t="s">
        <v>57</v>
      </c>
      <c r="U2">
        <v>1</v>
      </c>
      <c r="V2" s="11" t="s">
        <v>58</v>
      </c>
      <c r="W2">
        <v>5</v>
      </c>
      <c r="Y2" s="11">
        <v>4</v>
      </c>
      <c r="Z2" t="s">
        <v>59</v>
      </c>
      <c r="AA2" t="s">
        <v>59</v>
      </c>
      <c r="AB2" t="s">
        <v>18</v>
      </c>
      <c r="AC2">
        <v>4800</v>
      </c>
      <c r="AD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bon_commandes</vt:lpstr>
      <vt:lpstr>bon_commande_produits</vt:lpstr>
      <vt:lpstr>bon_livraisons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2026-03-07T08:04:25Z</dcterms:modified>
</cp:coreProperties>
</file>